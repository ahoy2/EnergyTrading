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_y_h\Desktop\Solo\"/>
    </mc:Choice>
  </mc:AlternateContent>
  <xr:revisionPtr revIDLastSave="0" documentId="13_ncr:1_{24EBA429-AFF4-4043-8DB8-2E1569DB2D80}" xr6:coauthVersionLast="47" xr6:coauthVersionMax="47" xr10:uidLastSave="{00000000-0000-0000-0000-000000000000}"/>
  <workbookProtection workbookAlgorithmName="SHA-512" workbookHashValue="ouAT+C50P+GiNqLVdPkkmjdL2TMDlZaR5rURRRqS9+ShxFk/82cT5BQ3d1M6lCBZcqpnBfEAEreZagkIGkUgxw==" workbookSaltValue="UHGiphZXGSvySeMLRgRMSg==" workbookSpinCount="100000" lockStructure="1"/>
  <bookViews>
    <workbookView xWindow="-108" yWindow="-108" windowWidth="23256" windowHeight="12456" firstSheet="1" activeTab="1" xr2:uid="{E9563354-3E2A-4DE4-B968-77CAE89E7C18}"/>
  </bookViews>
  <sheets>
    <sheet name="PrevValues" sheetId="20" state="veryHidden" r:id="rId1"/>
    <sheet name="MISO2" sheetId="18" r:id="rId2"/>
  </sheets>
  <functionGroups builtInGroupCount="19"/>
  <definedNames>
    <definedName name="_xleta.AVERAGE" hidden="1" xlm="1">#NAME?</definedName>
    <definedName name="_xleta.COUNT" hidden="1" xlm="1">#NAME?</definedName>
    <definedName name="_xleta.N" hidden="1" xlm="1">#NAME?</definedName>
    <definedName name="_xleta.ROUND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18" l="1"/>
  <c r="J34" i="18"/>
  <c r="J33" i="18"/>
  <c r="J32" i="18"/>
  <c r="J31" i="18"/>
  <c r="J28" i="18"/>
  <c r="J26" i="18"/>
  <c r="J25" i="18"/>
  <c r="J24" i="18"/>
  <c r="J23" i="18"/>
  <c r="J18" i="18"/>
  <c r="J16" i="18"/>
  <c r="J15" i="18"/>
  <c r="J14" i="18"/>
  <c r="J13" i="18"/>
  <c r="J10" i="18"/>
  <c r="J8" i="18"/>
  <c r="J7" i="18"/>
  <c r="J6" i="18"/>
  <c r="J5" i="18"/>
</calcChain>
</file>

<file path=xl/sharedStrings.xml><?xml version="1.0" encoding="utf-8"?>
<sst xmlns="http://schemas.openxmlformats.org/spreadsheetml/2006/main" count="31" uniqueCount="15">
  <si>
    <t>Fill From DA</t>
  </si>
  <si>
    <t>ForecastDateTimeEST</t>
  </si>
  <si>
    <t>ForecastHourEndingEST</t>
  </si>
  <si>
    <t>ForecastWindValue</t>
  </si>
  <si>
    <t>ForecastSolarValue</t>
  </si>
  <si>
    <t>ActualDateTimeEST</t>
  </si>
  <si>
    <t>ActualHourEndingEST</t>
  </si>
  <si>
    <t>ActualWindValue</t>
  </si>
  <si>
    <t>ActualSolarValue</t>
  </si>
  <si>
    <t>Miso Windy Data</t>
  </si>
  <si>
    <t>Max</t>
  </si>
  <si>
    <t>Hour</t>
  </si>
  <si>
    <t>Min</t>
  </si>
  <si>
    <t>Average</t>
  </si>
  <si>
    <t>Miso Solar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</si>
</sst>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30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>
      <alignment vertical="top"/>
    </xf>
  </cellStyleXfs>
  <cellXfs count="5">
    <xf numFmtId="0" fontId="0" fillId="0" borderId="0" xfId="0"/>
    <xf numFmtId="22" fontId="0" fillId="0" borderId="0" xfId="0" applyNumberFormat="1"/>
    <xf numFmtId="0" fontId="0" fillId="0" borderId="1" xfId="0" applyBorder="1"/>
    <xf numFmtId="164" fontId="0" fillId="2" borderId="1" xfId="0" applyNumberFormat="1" applyFill="1" applyBorder="1"/>
    <xf numFmtId="0" fontId="0" fillId="2" borderId="1" xfId="0" applyFill="1" applyBorder="1"/>
  </cellXfs>
  <cellStyles count="2">
    <cellStyle name="Normal" xfId="0" builtinId="0"/>
    <cellStyle name="Normal 2" xfId="1" xr:uid="{2D1D11EC-ABA8-486F-B686-D260D169C6E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Mar 5-6 Miso Wind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MisoFore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cat>
            <c:numRef>
              <c:f>MISO2!$B$2:$B$49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  <c:pt idx="46">
                  <c:v>23</c:v>
                </c:pt>
                <c:pt idx="47">
                  <c:v>24</c:v>
                </c:pt>
              </c:numCache>
            </c:numRef>
          </c:cat>
          <c:val>
            <c:numRef>
              <c:f>MISO2!$C$2:$C$49</c:f>
              <c:numCache>
                <c:formatCode>General</c:formatCode>
                <c:ptCount val="48"/>
                <c:pt idx="0">
                  <c:v>5559</c:v>
                </c:pt>
                <c:pt idx="1">
                  <c:v>5205</c:v>
                </c:pt>
                <c:pt idx="2">
                  <c:v>5015</c:v>
                </c:pt>
                <c:pt idx="3">
                  <c:v>4786</c:v>
                </c:pt>
                <c:pt idx="4">
                  <c:v>4653</c:v>
                </c:pt>
                <c:pt idx="5">
                  <c:v>4921</c:v>
                </c:pt>
                <c:pt idx="6">
                  <c:v>5342</c:v>
                </c:pt>
                <c:pt idx="7">
                  <c:v>5727</c:v>
                </c:pt>
                <c:pt idx="8">
                  <c:v>6180</c:v>
                </c:pt>
                <c:pt idx="9">
                  <c:v>6399</c:v>
                </c:pt>
                <c:pt idx="10">
                  <c:v>6493</c:v>
                </c:pt>
                <c:pt idx="11">
                  <c:v>6879</c:v>
                </c:pt>
                <c:pt idx="12">
                  <c:v>7580</c:v>
                </c:pt>
                <c:pt idx="13">
                  <c:v>8380</c:v>
                </c:pt>
                <c:pt idx="14">
                  <c:v>9165</c:v>
                </c:pt>
                <c:pt idx="15">
                  <c:v>9774</c:v>
                </c:pt>
                <c:pt idx="16">
                  <c:v>10341</c:v>
                </c:pt>
                <c:pt idx="17">
                  <c:v>10803</c:v>
                </c:pt>
                <c:pt idx="18">
                  <c:v>11349</c:v>
                </c:pt>
                <c:pt idx="19">
                  <c:v>12753</c:v>
                </c:pt>
                <c:pt idx="20">
                  <c:v>14490</c:v>
                </c:pt>
                <c:pt idx="21">
                  <c:v>15706</c:v>
                </c:pt>
                <c:pt idx="22">
                  <c:v>16408</c:v>
                </c:pt>
                <c:pt idx="23">
                  <c:v>16716</c:v>
                </c:pt>
                <c:pt idx="24">
                  <c:v>16668</c:v>
                </c:pt>
                <c:pt idx="25">
                  <c:v>16566</c:v>
                </c:pt>
                <c:pt idx="26">
                  <c:v>16529</c:v>
                </c:pt>
                <c:pt idx="27">
                  <c:v>16451</c:v>
                </c:pt>
                <c:pt idx="28">
                  <c:v>16330</c:v>
                </c:pt>
                <c:pt idx="29">
                  <c:v>16247</c:v>
                </c:pt>
                <c:pt idx="30">
                  <c:v>16242</c:v>
                </c:pt>
                <c:pt idx="31">
                  <c:v>16081</c:v>
                </c:pt>
                <c:pt idx="32">
                  <c:v>15785</c:v>
                </c:pt>
                <c:pt idx="33">
                  <c:v>15414</c:v>
                </c:pt>
                <c:pt idx="34">
                  <c:v>15238</c:v>
                </c:pt>
                <c:pt idx="35">
                  <c:v>15627</c:v>
                </c:pt>
                <c:pt idx="36">
                  <c:v>16424</c:v>
                </c:pt>
                <c:pt idx="37">
                  <c:v>17179</c:v>
                </c:pt>
                <c:pt idx="38">
                  <c:v>17855</c:v>
                </c:pt>
                <c:pt idx="39">
                  <c:v>18604</c:v>
                </c:pt>
                <c:pt idx="40">
                  <c:v>19244</c:v>
                </c:pt>
                <c:pt idx="41">
                  <c:v>19874</c:v>
                </c:pt>
                <c:pt idx="42">
                  <c:v>20547</c:v>
                </c:pt>
                <c:pt idx="43">
                  <c:v>21370</c:v>
                </c:pt>
                <c:pt idx="44">
                  <c:v>22078</c:v>
                </c:pt>
                <c:pt idx="45">
                  <c:v>22726</c:v>
                </c:pt>
                <c:pt idx="46">
                  <c:v>23116</c:v>
                </c:pt>
                <c:pt idx="47">
                  <c:v>23235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C-4C99-A0A9-34F9ECCAAB65}"/>
            </c:ext>
          </c:extLst>
        </c:ser>
        <c:ser>
          <c:idx val="1"/>
          <c:order val="1"/>
          <c:tx>
            <c:v>MisoRT</c:v>
          </c:tx>
          <c:marker>
            <c:symbol val="none"/>
          </c:marker>
          <c:cat>
            <c:numRef>
              <c:f>MISO2!$E$2:$E$24</c:f>
              <c:numCache>
                <c:formatCode>m/d/yyyy\ h:mm</c:formatCode>
                <c:ptCount val="23"/>
                <c:pt idx="0">
                  <c:v>46086</c:v>
                </c:pt>
                <c:pt idx="1">
                  <c:v>46086.041666666664</c:v>
                </c:pt>
                <c:pt idx="2">
                  <c:v>46086.083333333336</c:v>
                </c:pt>
                <c:pt idx="3">
                  <c:v>46086.125</c:v>
                </c:pt>
                <c:pt idx="4">
                  <c:v>46086.166666666664</c:v>
                </c:pt>
                <c:pt idx="5">
                  <c:v>46086.208333333336</c:v>
                </c:pt>
                <c:pt idx="6">
                  <c:v>46086.25</c:v>
                </c:pt>
                <c:pt idx="7">
                  <c:v>46086.291666666664</c:v>
                </c:pt>
                <c:pt idx="8">
                  <c:v>46086.333333333336</c:v>
                </c:pt>
                <c:pt idx="9">
                  <c:v>46086.375</c:v>
                </c:pt>
                <c:pt idx="10">
                  <c:v>46086.416666666664</c:v>
                </c:pt>
                <c:pt idx="11">
                  <c:v>46086.458333333336</c:v>
                </c:pt>
              </c:numCache>
            </c:numRef>
          </c:cat>
          <c:val>
            <c:numRef>
              <c:f>MISO2!$G$2:$G$24</c:f>
              <c:numCache>
                <c:formatCode>General</c:formatCode>
                <c:ptCount val="23"/>
                <c:pt idx="0">
                  <c:v>4766.1499999999996</c:v>
                </c:pt>
                <c:pt idx="1">
                  <c:v>4416.9799999999996</c:v>
                </c:pt>
                <c:pt idx="2">
                  <c:v>4342.55</c:v>
                </c:pt>
                <c:pt idx="3">
                  <c:v>3839.53</c:v>
                </c:pt>
                <c:pt idx="4">
                  <c:v>3395.29</c:v>
                </c:pt>
                <c:pt idx="5">
                  <c:v>3119.61</c:v>
                </c:pt>
                <c:pt idx="6">
                  <c:v>3476.66</c:v>
                </c:pt>
                <c:pt idx="7">
                  <c:v>3834.18</c:v>
                </c:pt>
                <c:pt idx="8">
                  <c:v>4537.76</c:v>
                </c:pt>
                <c:pt idx="9">
                  <c:v>4851.57</c:v>
                </c:pt>
                <c:pt idx="10">
                  <c:v>5124.25</c:v>
                </c:pt>
                <c:pt idx="11">
                  <c:v>6217.41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C-4C99-A0A9-34F9ECCAA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44245807"/>
        <c:axId val="144229967"/>
      </c:lineChart>
      <c:catAx>
        <c:axId val="14424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4229967"/>
        <c:crosses val="autoZero"/>
        <c:auto val="1"/>
        <c:lblAlgn val="ctr"/>
        <c:lblOffset val="100"/>
        <c:noMultiLvlLbl val="0"/>
      </c:catAx>
      <c:valAx>
        <c:axId val="1442299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45807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Mar 5-6 Miso Solar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MisoFore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cat>
            <c:numRef>
              <c:f>MISO2!$B$2:$B$49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17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21</c:v>
                </c:pt>
                <c:pt idx="45">
                  <c:v>22</c:v>
                </c:pt>
                <c:pt idx="46">
                  <c:v>23</c:v>
                </c:pt>
                <c:pt idx="47">
                  <c:v>24</c:v>
                </c:pt>
              </c:numCache>
            </c:numRef>
          </c:cat>
          <c:val>
            <c:numRef>
              <c:f>MISO2!$D$2:$D$49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60</c:v>
                </c:pt>
                <c:pt idx="8">
                  <c:v>803</c:v>
                </c:pt>
                <c:pt idx="9">
                  <c:v>2140</c:v>
                </c:pt>
                <c:pt idx="10">
                  <c:v>3415</c:v>
                </c:pt>
                <c:pt idx="11">
                  <c:v>4857</c:v>
                </c:pt>
                <c:pt idx="12">
                  <c:v>5931</c:v>
                </c:pt>
                <c:pt idx="13">
                  <c:v>6513</c:v>
                </c:pt>
                <c:pt idx="14">
                  <c:v>6402</c:v>
                </c:pt>
                <c:pt idx="15">
                  <c:v>6131</c:v>
                </c:pt>
                <c:pt idx="16">
                  <c:v>5478</c:v>
                </c:pt>
                <c:pt idx="17">
                  <c:v>3328</c:v>
                </c:pt>
                <c:pt idx="18">
                  <c:v>554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206</c:v>
                </c:pt>
                <c:pt idx="32">
                  <c:v>2012</c:v>
                </c:pt>
                <c:pt idx="33">
                  <c:v>4552</c:v>
                </c:pt>
                <c:pt idx="34">
                  <c:v>6325</c:v>
                </c:pt>
                <c:pt idx="35">
                  <c:v>7849</c:v>
                </c:pt>
                <c:pt idx="36">
                  <c:v>9051</c:v>
                </c:pt>
                <c:pt idx="37">
                  <c:v>9553</c:v>
                </c:pt>
                <c:pt idx="38">
                  <c:v>9402</c:v>
                </c:pt>
                <c:pt idx="39">
                  <c:v>8947</c:v>
                </c:pt>
                <c:pt idx="40">
                  <c:v>7676</c:v>
                </c:pt>
                <c:pt idx="41">
                  <c:v>4393</c:v>
                </c:pt>
                <c:pt idx="42">
                  <c:v>721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1-4089-A3CF-A86754F6FAA8}"/>
            </c:ext>
          </c:extLst>
        </c:ser>
        <c:ser>
          <c:idx val="1"/>
          <c:order val="1"/>
          <c:tx>
            <c:v>MisoRT</c:v>
          </c:tx>
          <c:marker>
            <c:symbol val="none"/>
          </c:marker>
          <c:cat>
            <c:numRef>
              <c:f>MISO2!$E$2:$E$24</c:f>
              <c:numCache>
                <c:formatCode>m/d/yyyy\ h:mm</c:formatCode>
                <c:ptCount val="23"/>
                <c:pt idx="0">
                  <c:v>46086</c:v>
                </c:pt>
                <c:pt idx="1">
                  <c:v>46086.041666666664</c:v>
                </c:pt>
                <c:pt idx="2">
                  <c:v>46086.083333333336</c:v>
                </c:pt>
                <c:pt idx="3">
                  <c:v>46086.125</c:v>
                </c:pt>
                <c:pt idx="4">
                  <c:v>46086.166666666664</c:v>
                </c:pt>
                <c:pt idx="5">
                  <c:v>46086.208333333336</c:v>
                </c:pt>
                <c:pt idx="6">
                  <c:v>46086.25</c:v>
                </c:pt>
                <c:pt idx="7">
                  <c:v>46086.291666666664</c:v>
                </c:pt>
                <c:pt idx="8">
                  <c:v>46086.333333333336</c:v>
                </c:pt>
                <c:pt idx="9">
                  <c:v>46086.375</c:v>
                </c:pt>
                <c:pt idx="10">
                  <c:v>46086.416666666664</c:v>
                </c:pt>
                <c:pt idx="11">
                  <c:v>46086.458333333336</c:v>
                </c:pt>
              </c:numCache>
            </c:numRef>
          </c:cat>
          <c:val>
            <c:numRef>
              <c:f>MISO2!$H$2:$H$24</c:f>
              <c:numCache>
                <c:formatCode>General</c:formatCode>
                <c:ptCount val="23"/>
                <c:pt idx="0">
                  <c:v>-41.59</c:v>
                </c:pt>
                <c:pt idx="1">
                  <c:v>-41.81</c:v>
                </c:pt>
                <c:pt idx="2">
                  <c:v>-41.86</c:v>
                </c:pt>
                <c:pt idx="3">
                  <c:v>-42</c:v>
                </c:pt>
                <c:pt idx="4">
                  <c:v>-42.13</c:v>
                </c:pt>
                <c:pt idx="5">
                  <c:v>-41.64</c:v>
                </c:pt>
                <c:pt idx="6">
                  <c:v>-41.22</c:v>
                </c:pt>
                <c:pt idx="7">
                  <c:v>-4.2300000000000004</c:v>
                </c:pt>
                <c:pt idx="8">
                  <c:v>828.46</c:v>
                </c:pt>
                <c:pt idx="9">
                  <c:v>2466.9299999999998</c:v>
                </c:pt>
                <c:pt idx="10">
                  <c:v>3899.34</c:v>
                </c:pt>
                <c:pt idx="11">
                  <c:v>5456.53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91-4089-A3CF-A86754F6F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44254927"/>
        <c:axId val="144255407"/>
      </c:lineChart>
      <c:catAx>
        <c:axId val="144254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4255407"/>
        <c:crosses val="autoZero"/>
        <c:auto val="1"/>
        <c:lblAlgn val="ctr"/>
        <c:lblOffset val="100"/>
        <c:noMultiLvlLbl val="0"/>
      </c:catAx>
      <c:valAx>
        <c:axId val="144255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54927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640080</xdr:colOff>
          <xdr:row>28</xdr:row>
          <xdr:rowOff>106680</xdr:rowOff>
        </xdr:from>
        <xdr:to>
          <xdr:col>7</xdr:col>
          <xdr:colOff>635300</xdr:colOff>
          <xdr:row>31</xdr:row>
          <xdr:rowOff>99060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CA" sz="30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617220</xdr:colOff>
          <xdr:row>25</xdr:row>
          <xdr:rowOff>7620</xdr:rowOff>
        </xdr:from>
        <xdr:to>
          <xdr:col>7</xdr:col>
          <xdr:colOff>641650</xdr:colOff>
          <xdr:row>27</xdr:row>
          <xdr:rowOff>180340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CA" sz="3000" b="0" i="0" u="none" strike="noStrike" baseline="0">
                  <a:solidFill>
                    <a:srgbClr val="000000"/>
                  </a:solidFill>
                  <a:latin typeface="Aptos Narrow"/>
                </a:rPr>
                <a:t>MisoLoad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632460</xdr:colOff>
          <xdr:row>21</xdr:row>
          <xdr:rowOff>45720</xdr:rowOff>
        </xdr:from>
        <xdr:to>
          <xdr:col>7</xdr:col>
          <xdr:colOff>641650</xdr:colOff>
          <xdr:row>24</xdr:row>
          <xdr:rowOff>100330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CA" sz="3000" b="0" i="0" u="none" strike="noStrike" baseline="0">
                  <a:solidFill>
                    <a:srgbClr val="000000"/>
                  </a:solidFill>
                  <a:latin typeface="Aptos Narrow"/>
                </a:rPr>
                <a:t>MisoWeather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</xdr:row>
      <xdr:rowOff>0</xdr:rowOff>
    </xdr:from>
    <xdr:to>
      <xdr:col>22</xdr:col>
      <xdr:colOff>302260</xdr:colOff>
      <xdr:row>18</xdr:row>
      <xdr:rowOff>147320</xdr:rowOff>
    </xdr:to>
    <xdr:graphicFrame macro="">
      <xdr:nvGraphicFramePr>
        <xdr:cNvPr id="9" name="MisoWind1">
          <a:extLst>
            <a:ext uri="{FF2B5EF4-FFF2-40B4-BE49-F238E27FC236}">
              <a16:creationId xmlns:a16="http://schemas.microsoft.com/office/drawing/2014/main" id="{A03AA595-D44A-399E-DC37-F4921D4E3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22</xdr:col>
      <xdr:colOff>302260</xdr:colOff>
      <xdr:row>37</xdr:row>
      <xdr:rowOff>139700</xdr:rowOff>
    </xdr:to>
    <xdr:graphicFrame macro="">
      <xdr:nvGraphicFramePr>
        <xdr:cNvPr id="10" name="MisoSolar1">
          <a:extLst>
            <a:ext uri="{FF2B5EF4-FFF2-40B4-BE49-F238E27FC236}">
              <a16:creationId xmlns:a16="http://schemas.microsoft.com/office/drawing/2014/main" id="{A44711A5-0F1A-62A5-364F-A06C7A1C0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C6CEC-75D2-403F-8B33-51D2B3C3BCC8}">
  <sheetPr codeName="Sheet10"/>
  <dimension ref="A2:B2"/>
  <sheetViews>
    <sheetView workbookViewId="0"/>
  </sheetViews>
  <sheetFormatPr defaultRowHeight="14.4" x14ac:dyDescent="0.3"/>
  <sheetData>
    <row r="2" spans="1:2" x14ac:dyDescent="0.3">
      <c r="A2" t="s">
        <v>0</v>
      </c>
      <c r="B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1244-3531-4595-9786-5F7BD66D0CC1}">
  <sheetPr codeName="Sheet9"/>
  <dimension ref="A1:J49"/>
  <sheetViews>
    <sheetView tabSelected="1" zoomScale="85" zoomScaleNormal="85" workbookViewId="0">
      <selection activeCell="F17" sqref="F17"/>
    </sheetView>
  </sheetViews>
  <sheetFormatPr defaultRowHeight="14.4" x14ac:dyDescent="0.3"/>
  <cols>
    <col min="1" max="1" width="19.88671875" bestFit="1" customWidth="1"/>
    <col min="2" max="2" width="21.33203125" bestFit="1" customWidth="1"/>
    <col min="3" max="4" width="17.6640625" bestFit="1" customWidth="1"/>
    <col min="5" max="5" width="17.88671875" bestFit="1" customWidth="1"/>
    <col min="6" max="6" width="19.33203125" bestFit="1" customWidth="1"/>
    <col min="7" max="8" width="15.6640625" bestFit="1" customWidth="1"/>
    <col min="9" max="9" width="15.109375" bestFit="1" customWidth="1"/>
    <col min="10" max="10" width="9.77734375" bestFit="1" customWidth="1"/>
    <col min="19" max="19" width="8.5546875" customWidth="1"/>
  </cols>
  <sheetData>
    <row r="1" spans="1:10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10" x14ac:dyDescent="0.3">
      <c r="A2" s="1">
        <v>46086</v>
      </c>
      <c r="B2">
        <v>1</v>
      </c>
      <c r="C2">
        <v>5559</v>
      </c>
      <c r="D2">
        <v>0</v>
      </c>
      <c r="E2" s="1">
        <v>46086</v>
      </c>
      <c r="F2">
        <v>1</v>
      </c>
      <c r="G2">
        <v>4766.1499999999996</v>
      </c>
      <c r="H2">
        <v>-41.59</v>
      </c>
    </row>
    <row r="3" spans="1:10" ht="15" thickBot="1" x14ac:dyDescent="0.35">
      <c r="A3" s="1">
        <v>46086.041666666664</v>
      </c>
      <c r="B3">
        <v>2</v>
      </c>
      <c r="C3">
        <v>5205</v>
      </c>
      <c r="D3">
        <v>0</v>
      </c>
      <c r="E3" s="1">
        <v>46086.041666666664</v>
      </c>
      <c r="F3">
        <v>2</v>
      </c>
      <c r="G3">
        <v>4416.9799999999996</v>
      </c>
      <c r="H3">
        <v>-41.81</v>
      </c>
      <c r="I3" t="s">
        <v>9</v>
      </c>
    </row>
    <row r="4" spans="1:10" ht="15.6" thickTop="1" thickBot="1" x14ac:dyDescent="0.35">
      <c r="A4" s="1">
        <v>46086.083333333336</v>
      </c>
      <c r="B4">
        <v>3</v>
      </c>
      <c r="C4">
        <v>5015</v>
      </c>
      <c r="D4">
        <v>0</v>
      </c>
      <c r="E4" s="1">
        <v>46086.083333333336</v>
      </c>
      <c r="F4">
        <v>3</v>
      </c>
      <c r="G4">
        <v>4342.55</v>
      </c>
      <c r="H4">
        <v>-41.86</v>
      </c>
      <c r="I4" s="3">
        <v>46086</v>
      </c>
      <c r="J4" s="4"/>
    </row>
    <row r="5" spans="1:10" ht="15.6" thickTop="1" thickBot="1" x14ac:dyDescent="0.35">
      <c r="A5" s="1">
        <v>46086.125</v>
      </c>
      <c r="B5">
        <v>4</v>
      </c>
      <c r="C5">
        <v>4786</v>
      </c>
      <c r="D5">
        <v>0</v>
      </c>
      <c r="E5" s="1">
        <v>46086.125</v>
      </c>
      <c r="F5">
        <v>4</v>
      </c>
      <c r="G5">
        <v>3839.53</v>
      </c>
      <c r="H5">
        <v>-42</v>
      </c>
      <c r="I5" s="2" t="s">
        <v>10</v>
      </c>
      <c r="J5" s="2">
        <f>MAX(C11:C26)</f>
        <v>16716</v>
      </c>
    </row>
    <row r="6" spans="1:10" ht="15.6" thickTop="1" thickBot="1" x14ac:dyDescent="0.35">
      <c r="A6" s="1">
        <v>46086.166666666664</v>
      </c>
      <c r="B6">
        <v>5</v>
      </c>
      <c r="C6">
        <v>4653</v>
      </c>
      <c r="D6">
        <v>0</v>
      </c>
      <c r="E6" s="1">
        <v>46086.166666666664</v>
      </c>
      <c r="F6">
        <v>5</v>
      </c>
      <c r="G6">
        <v>3395.29</v>
      </c>
      <c r="H6">
        <v>-42.13</v>
      </c>
      <c r="I6" s="2" t="s">
        <v>11</v>
      </c>
      <c r="J6" s="2">
        <f>INDEX(B11:B26, MATCH(MAX(C11:C26), C11:C26, 0))</f>
        <v>24</v>
      </c>
    </row>
    <row r="7" spans="1:10" ht="15.6" thickTop="1" thickBot="1" x14ac:dyDescent="0.35">
      <c r="A7" s="1">
        <v>46086.208333333336</v>
      </c>
      <c r="B7">
        <v>6</v>
      </c>
      <c r="C7">
        <v>4921</v>
      </c>
      <c r="D7">
        <v>0</v>
      </c>
      <c r="E7" s="1">
        <v>46086.208333333336</v>
      </c>
      <c r="F7">
        <v>6</v>
      </c>
      <c r="G7">
        <v>3119.61</v>
      </c>
      <c r="H7">
        <v>-41.64</v>
      </c>
      <c r="I7" s="2" t="s">
        <v>12</v>
      </c>
      <c r="J7" s="2">
        <f>MIN(C11:C26)</f>
        <v>6399</v>
      </c>
    </row>
    <row r="8" spans="1:10" ht="15.6" thickTop="1" thickBot="1" x14ac:dyDescent="0.35">
      <c r="A8" s="1">
        <v>46086.25</v>
      </c>
      <c r="B8">
        <v>7</v>
      </c>
      <c r="C8">
        <v>5342</v>
      </c>
      <c r="D8">
        <v>0</v>
      </c>
      <c r="E8" s="1">
        <v>46086.25</v>
      </c>
      <c r="F8">
        <v>7</v>
      </c>
      <c r="G8">
        <v>3476.66</v>
      </c>
      <c r="H8">
        <v>-41.22</v>
      </c>
      <c r="I8" s="2" t="s">
        <v>11</v>
      </c>
      <c r="J8" s="2">
        <f>INDEX(B13:B28, MATCH(MIN(C13:C28), C13:C28, 0))</f>
        <v>12</v>
      </c>
    </row>
    <row r="9" spans="1:10" ht="15.6" thickTop="1" thickBot="1" x14ac:dyDescent="0.35">
      <c r="A9" s="1">
        <v>46086.291666666664</v>
      </c>
      <c r="B9">
        <v>8</v>
      </c>
      <c r="C9">
        <v>5727</v>
      </c>
      <c r="D9">
        <v>60</v>
      </c>
      <c r="E9" s="1">
        <v>46086.291666666664</v>
      </c>
      <c r="F9">
        <v>8</v>
      </c>
      <c r="G9">
        <v>3834.18</v>
      </c>
      <c r="H9">
        <v>-4.2300000000000004</v>
      </c>
      <c r="I9" s="2"/>
      <c r="J9" s="2"/>
    </row>
    <row r="10" spans="1:10" ht="15.6" thickTop="1" thickBot="1" x14ac:dyDescent="0.35">
      <c r="A10" s="1">
        <v>46086.333333333336</v>
      </c>
      <c r="B10">
        <v>9</v>
      </c>
      <c r="C10">
        <v>6180</v>
      </c>
      <c r="D10">
        <v>803</v>
      </c>
      <c r="E10" s="1">
        <v>46086.333333333336</v>
      </c>
      <c r="F10">
        <v>9</v>
      </c>
      <c r="G10">
        <v>4537.76</v>
      </c>
      <c r="H10">
        <v>828.46</v>
      </c>
      <c r="I10" s="2" t="s">
        <v>13</v>
      </c>
      <c r="J10" s="2">
        <f>ROUND(AVERAGE(C11:C26), 2)</f>
        <v>11244</v>
      </c>
    </row>
    <row r="11" spans="1:10" ht="15.6" thickTop="1" thickBot="1" x14ac:dyDescent="0.35">
      <c r="A11" s="1">
        <v>46086.375</v>
      </c>
      <c r="B11">
        <v>10</v>
      </c>
      <c r="C11">
        <v>6399</v>
      </c>
      <c r="D11">
        <v>2140</v>
      </c>
      <c r="E11" s="1">
        <v>46086.375</v>
      </c>
      <c r="F11">
        <v>10</v>
      </c>
      <c r="G11">
        <v>4851.57</v>
      </c>
      <c r="H11">
        <v>2466.9299999999998</v>
      </c>
    </row>
    <row r="12" spans="1:10" ht="15.6" thickTop="1" thickBot="1" x14ac:dyDescent="0.35">
      <c r="A12" s="1">
        <v>46086.416666666664</v>
      </c>
      <c r="B12">
        <v>11</v>
      </c>
      <c r="C12">
        <v>6493</v>
      </c>
      <c r="D12">
        <v>3415</v>
      </c>
      <c r="E12" s="1">
        <v>46086.416666666664</v>
      </c>
      <c r="F12">
        <v>11</v>
      </c>
      <c r="G12">
        <v>5124.25</v>
      </c>
      <c r="H12">
        <v>3899.34</v>
      </c>
      <c r="I12" s="3">
        <v>46087</v>
      </c>
      <c r="J12" s="4"/>
    </row>
    <row r="13" spans="1:10" ht="15.6" thickTop="1" thickBot="1" x14ac:dyDescent="0.35">
      <c r="A13" s="1">
        <v>46086.458333333336</v>
      </c>
      <c r="B13">
        <v>12</v>
      </c>
      <c r="C13">
        <v>6879</v>
      </c>
      <c r="D13">
        <v>4857</v>
      </c>
      <c r="E13" s="1">
        <v>46086.458333333336</v>
      </c>
      <c r="F13">
        <v>12</v>
      </c>
      <c r="G13">
        <v>6217.41</v>
      </c>
      <c r="H13">
        <v>5456.53</v>
      </c>
      <c r="I13" s="2" t="s">
        <v>10</v>
      </c>
      <c r="J13" s="2">
        <f>MAX(C35:C50)</f>
        <v>23235</v>
      </c>
    </row>
    <row r="14" spans="1:10" ht="15.6" thickTop="1" thickBot="1" x14ac:dyDescent="0.35">
      <c r="A14" s="1">
        <v>46086.5</v>
      </c>
      <c r="B14">
        <v>13</v>
      </c>
      <c r="C14">
        <v>7580</v>
      </c>
      <c r="D14">
        <v>5931</v>
      </c>
      <c r="I14" s="2" t="s">
        <v>11</v>
      </c>
      <c r="J14" s="2">
        <f>INDEX(B35:B50, MATCH(MAX(C35:C50), C35:C50, 0))</f>
        <v>24</v>
      </c>
    </row>
    <row r="15" spans="1:10" ht="15.6" thickTop="1" thickBot="1" x14ac:dyDescent="0.35">
      <c r="A15" s="1">
        <v>46086.541666666664</v>
      </c>
      <c r="B15">
        <v>14</v>
      </c>
      <c r="C15">
        <v>8380</v>
      </c>
      <c r="D15">
        <v>6513</v>
      </c>
      <c r="I15" s="2" t="s">
        <v>12</v>
      </c>
      <c r="J15" s="2">
        <f>MIN(C11:C26)</f>
        <v>6399</v>
      </c>
    </row>
    <row r="16" spans="1:10" ht="15.6" thickTop="1" thickBot="1" x14ac:dyDescent="0.35">
      <c r="A16" s="1">
        <v>46086.583333333336</v>
      </c>
      <c r="B16">
        <v>15</v>
      </c>
      <c r="C16">
        <v>9165</v>
      </c>
      <c r="D16">
        <v>6402</v>
      </c>
      <c r="I16" s="2" t="s">
        <v>11</v>
      </c>
      <c r="J16" s="2">
        <f>INDEX(B35:B50, MATCH(MIN(C35:C50), C35:C50, 0))</f>
        <v>11</v>
      </c>
    </row>
    <row r="17" spans="1:10" ht="15.6" thickTop="1" thickBot="1" x14ac:dyDescent="0.35">
      <c r="A17" s="1">
        <v>46086.625</v>
      </c>
      <c r="B17">
        <v>16</v>
      </c>
      <c r="C17">
        <v>9774</v>
      </c>
      <c r="D17">
        <v>6131</v>
      </c>
      <c r="I17" s="2"/>
      <c r="J17" s="2"/>
    </row>
    <row r="18" spans="1:10" ht="15.6" thickTop="1" thickBot="1" x14ac:dyDescent="0.35">
      <c r="A18" s="1">
        <v>46086.666666666664</v>
      </c>
      <c r="B18">
        <v>17</v>
      </c>
      <c r="C18">
        <v>10341</v>
      </c>
      <c r="D18">
        <v>5478</v>
      </c>
      <c r="I18" s="2" t="s">
        <v>13</v>
      </c>
      <c r="J18" s="2">
        <f>ROUND(AVERAGE(C35:C50), 2)</f>
        <v>19235.400000000001</v>
      </c>
    </row>
    <row r="19" spans="1:10" ht="15" thickTop="1" x14ac:dyDescent="0.3">
      <c r="A19" s="1">
        <v>46086.708333333336</v>
      </c>
      <c r="B19">
        <v>18</v>
      </c>
      <c r="C19">
        <v>10803</v>
      </c>
      <c r="D19">
        <v>3328</v>
      </c>
    </row>
    <row r="20" spans="1:10" x14ac:dyDescent="0.3">
      <c r="A20" s="1">
        <v>46086.75</v>
      </c>
      <c r="B20">
        <v>19</v>
      </c>
      <c r="C20">
        <v>11349</v>
      </c>
      <c r="D20">
        <v>554</v>
      </c>
    </row>
    <row r="21" spans="1:10" ht="15" thickBot="1" x14ac:dyDescent="0.35">
      <c r="A21" s="1">
        <v>46086.791666666664</v>
      </c>
      <c r="B21">
        <v>20</v>
      </c>
      <c r="C21">
        <v>12753</v>
      </c>
      <c r="D21">
        <v>2</v>
      </c>
      <c r="I21" t="s">
        <v>14</v>
      </c>
    </row>
    <row r="22" spans="1:10" ht="15.6" thickTop="1" thickBot="1" x14ac:dyDescent="0.35">
      <c r="A22" s="1">
        <v>46086.833333333336</v>
      </c>
      <c r="B22">
        <v>21</v>
      </c>
      <c r="C22">
        <v>14490</v>
      </c>
      <c r="D22">
        <v>0</v>
      </c>
      <c r="I22" s="3">
        <v>46086</v>
      </c>
      <c r="J22" s="4"/>
    </row>
    <row r="23" spans="1:10" ht="15.6" thickTop="1" thickBot="1" x14ac:dyDescent="0.35">
      <c r="A23" s="1">
        <v>46086.875</v>
      </c>
      <c r="B23">
        <v>22</v>
      </c>
      <c r="C23">
        <v>15706</v>
      </c>
      <c r="D23">
        <v>0</v>
      </c>
      <c r="I23" s="2" t="s">
        <v>10</v>
      </c>
      <c r="J23" s="2">
        <f>MAX(D11:D26)</f>
        <v>6513</v>
      </c>
    </row>
    <row r="24" spans="1:10" ht="15.6" thickTop="1" thickBot="1" x14ac:dyDescent="0.35">
      <c r="A24" s="1">
        <v>46086.916666666664</v>
      </c>
      <c r="B24">
        <v>23</v>
      </c>
      <c r="C24">
        <v>16408</v>
      </c>
      <c r="D24">
        <v>0</v>
      </c>
      <c r="I24" s="2" t="s">
        <v>11</v>
      </c>
      <c r="J24" s="2">
        <f>INDEX(B11:B26, MATCH(MAX(D11:D26), D11:D26, 0))</f>
        <v>14</v>
      </c>
    </row>
    <row r="25" spans="1:10" ht="15.6" thickTop="1" thickBot="1" x14ac:dyDescent="0.35">
      <c r="A25" s="1">
        <v>46086.958333333336</v>
      </c>
      <c r="B25">
        <v>24</v>
      </c>
      <c r="C25">
        <v>16716</v>
      </c>
      <c r="D25">
        <v>0</v>
      </c>
      <c r="I25" s="2" t="s">
        <v>12</v>
      </c>
      <c r="J25" s="2">
        <f>MIN(D11:D26)</f>
        <v>0</v>
      </c>
    </row>
    <row r="26" spans="1:10" ht="15.6" thickTop="1" thickBot="1" x14ac:dyDescent="0.35">
      <c r="A26" s="1">
        <v>46087</v>
      </c>
      <c r="B26">
        <v>1</v>
      </c>
      <c r="C26">
        <v>16668</v>
      </c>
      <c r="D26">
        <v>0</v>
      </c>
      <c r="I26" s="2" t="s">
        <v>11</v>
      </c>
      <c r="J26" s="2">
        <f>INDEX(B13:B28, MATCH(MIN(D13:D28), D13:D28, 0))</f>
        <v>21</v>
      </c>
    </row>
    <row r="27" spans="1:10" ht="15.6" thickTop="1" thickBot="1" x14ac:dyDescent="0.35">
      <c r="A27" s="1">
        <v>46087.041666666664</v>
      </c>
      <c r="B27">
        <v>2</v>
      </c>
      <c r="C27">
        <v>16566</v>
      </c>
      <c r="D27">
        <v>0</v>
      </c>
      <c r="I27" s="2"/>
      <c r="J27" s="2"/>
    </row>
    <row r="28" spans="1:10" ht="15.6" thickTop="1" thickBot="1" x14ac:dyDescent="0.35">
      <c r="A28" s="1">
        <v>46087.083333333336</v>
      </c>
      <c r="B28">
        <v>3</v>
      </c>
      <c r="C28">
        <v>16529</v>
      </c>
      <c r="D28">
        <v>0</v>
      </c>
      <c r="I28" s="2" t="s">
        <v>13</v>
      </c>
      <c r="J28" s="2">
        <f>ROUND(AVERAGE(D11:D26), 2)</f>
        <v>2796.94</v>
      </c>
    </row>
    <row r="29" spans="1:10" ht="15.6" thickTop="1" thickBot="1" x14ac:dyDescent="0.35">
      <c r="A29" s="1">
        <v>46087.125</v>
      </c>
      <c r="B29">
        <v>4</v>
      </c>
      <c r="C29">
        <v>16451</v>
      </c>
      <c r="D29">
        <v>0</v>
      </c>
    </row>
    <row r="30" spans="1:10" ht="15.6" thickTop="1" thickBot="1" x14ac:dyDescent="0.35">
      <c r="A30" s="1">
        <v>46087.166666666664</v>
      </c>
      <c r="B30">
        <v>5</v>
      </c>
      <c r="C30">
        <v>16330</v>
      </c>
      <c r="D30">
        <v>0</v>
      </c>
      <c r="I30" s="3">
        <v>46087</v>
      </c>
      <c r="J30" s="4"/>
    </row>
    <row r="31" spans="1:10" ht="15.6" thickTop="1" thickBot="1" x14ac:dyDescent="0.35">
      <c r="A31" s="1">
        <v>46087.208333333336</v>
      </c>
      <c r="B31">
        <v>6</v>
      </c>
      <c r="C31">
        <v>16247</v>
      </c>
      <c r="D31">
        <v>0</v>
      </c>
      <c r="I31" s="2" t="s">
        <v>10</v>
      </c>
      <c r="J31" s="2">
        <f>MAX(D35:D50)</f>
        <v>9553</v>
      </c>
    </row>
    <row r="32" spans="1:10" ht="15.6" thickTop="1" thickBot="1" x14ac:dyDescent="0.35">
      <c r="A32" s="1">
        <v>46087.25</v>
      </c>
      <c r="B32">
        <v>7</v>
      </c>
      <c r="C32">
        <v>16242</v>
      </c>
      <c r="D32">
        <v>0</v>
      </c>
      <c r="I32" s="2" t="s">
        <v>11</v>
      </c>
      <c r="J32" s="2">
        <f>INDEX(B35:B50, MATCH(MAX(D35:D50), D35:D50, 0))</f>
        <v>14</v>
      </c>
    </row>
    <row r="33" spans="1:10" ht="15.6" thickTop="1" thickBot="1" x14ac:dyDescent="0.35">
      <c r="A33" s="1">
        <v>46087.291666666664</v>
      </c>
      <c r="B33">
        <v>8</v>
      </c>
      <c r="C33">
        <v>16081</v>
      </c>
      <c r="D33">
        <v>206</v>
      </c>
      <c r="I33" s="2" t="s">
        <v>12</v>
      </c>
      <c r="J33" s="2">
        <f>MIN(D11:D26)</f>
        <v>0</v>
      </c>
    </row>
    <row r="34" spans="1:10" ht="15.6" thickTop="1" thickBot="1" x14ac:dyDescent="0.35">
      <c r="A34" s="1">
        <v>46087.333333333336</v>
      </c>
      <c r="B34">
        <v>9</v>
      </c>
      <c r="C34">
        <v>15785</v>
      </c>
      <c r="D34">
        <v>2012</v>
      </c>
      <c r="I34" s="2" t="s">
        <v>11</v>
      </c>
      <c r="J34" s="2">
        <f>INDEX(B35:B50, MATCH(MIN(D35:D50), D35:D50, 0))</f>
        <v>21</v>
      </c>
    </row>
    <row r="35" spans="1:10" ht="15.6" thickTop="1" thickBot="1" x14ac:dyDescent="0.35">
      <c r="A35" s="1">
        <v>46087.375</v>
      </c>
      <c r="B35">
        <v>10</v>
      </c>
      <c r="C35">
        <v>15414</v>
      </c>
      <c r="D35">
        <v>4552</v>
      </c>
      <c r="I35" s="2"/>
      <c r="J35" s="2"/>
    </row>
    <row r="36" spans="1:10" ht="15.6" thickTop="1" thickBot="1" x14ac:dyDescent="0.35">
      <c r="A36" s="1">
        <v>46087.416666666664</v>
      </c>
      <c r="B36">
        <v>11</v>
      </c>
      <c r="C36">
        <v>15238</v>
      </c>
      <c r="D36">
        <v>6325</v>
      </c>
      <c r="I36" s="2" t="s">
        <v>13</v>
      </c>
      <c r="J36" s="2">
        <f>ROUND(AVERAGE(D35:D50), 2)</f>
        <v>4564.67</v>
      </c>
    </row>
    <row r="37" spans="1:10" ht="15" thickTop="1" x14ac:dyDescent="0.3">
      <c r="A37" s="1">
        <v>46087.458333333336</v>
      </c>
      <c r="B37">
        <v>12</v>
      </c>
      <c r="C37">
        <v>15627</v>
      </c>
      <c r="D37">
        <v>7849</v>
      </c>
    </row>
    <row r="38" spans="1:10" x14ac:dyDescent="0.3">
      <c r="A38" s="1">
        <v>46087.5</v>
      </c>
      <c r="B38">
        <v>13</v>
      </c>
      <c r="C38">
        <v>16424</v>
      </c>
      <c r="D38">
        <v>9051</v>
      </c>
    </row>
    <row r="39" spans="1:10" x14ac:dyDescent="0.3">
      <c r="A39" s="1">
        <v>46087.541666666664</v>
      </c>
      <c r="B39">
        <v>14</v>
      </c>
      <c r="C39">
        <v>17179</v>
      </c>
      <c r="D39">
        <v>9553</v>
      </c>
    </row>
    <row r="40" spans="1:10" x14ac:dyDescent="0.3">
      <c r="A40" s="1">
        <v>46087.583333333336</v>
      </c>
      <c r="B40">
        <v>15</v>
      </c>
      <c r="C40">
        <v>17855</v>
      </c>
      <c r="D40">
        <v>9402</v>
      </c>
    </row>
    <row r="41" spans="1:10" x14ac:dyDescent="0.3">
      <c r="A41" s="1">
        <v>46087.625</v>
      </c>
      <c r="B41">
        <v>16</v>
      </c>
      <c r="C41">
        <v>18604</v>
      </c>
      <c r="D41">
        <v>8947</v>
      </c>
    </row>
    <row r="42" spans="1:10" x14ac:dyDescent="0.3">
      <c r="A42" s="1">
        <v>46087.666666666664</v>
      </c>
      <c r="B42">
        <v>17</v>
      </c>
      <c r="C42">
        <v>19244</v>
      </c>
      <c r="D42">
        <v>7676</v>
      </c>
    </row>
    <row r="43" spans="1:10" x14ac:dyDescent="0.3">
      <c r="A43" s="1">
        <v>46087.708333333336</v>
      </c>
      <c r="B43">
        <v>18</v>
      </c>
      <c r="C43">
        <v>19874</v>
      </c>
      <c r="D43">
        <v>4393</v>
      </c>
    </row>
    <row r="44" spans="1:10" x14ac:dyDescent="0.3">
      <c r="A44" s="1">
        <v>46087.75</v>
      </c>
      <c r="B44">
        <v>19</v>
      </c>
      <c r="C44">
        <v>20547</v>
      </c>
      <c r="D44">
        <v>721</v>
      </c>
    </row>
    <row r="45" spans="1:10" x14ac:dyDescent="0.3">
      <c r="A45" s="1">
        <v>46087.791666666664</v>
      </c>
      <c r="B45">
        <v>20</v>
      </c>
      <c r="C45">
        <v>21370</v>
      </c>
      <c r="D45">
        <v>1</v>
      </c>
    </row>
    <row r="46" spans="1:10" x14ac:dyDescent="0.3">
      <c r="A46" s="1">
        <v>46087.833333333336</v>
      </c>
      <c r="B46">
        <v>21</v>
      </c>
      <c r="C46">
        <v>22078</v>
      </c>
      <c r="D46">
        <v>0</v>
      </c>
    </row>
    <row r="47" spans="1:10" x14ac:dyDescent="0.3">
      <c r="A47" s="1">
        <v>46087.875</v>
      </c>
      <c r="B47">
        <v>22</v>
      </c>
      <c r="C47">
        <v>22726</v>
      </c>
      <c r="D47">
        <v>0</v>
      </c>
    </row>
    <row r="48" spans="1:10" x14ac:dyDescent="0.3">
      <c r="A48" s="1">
        <v>46087.916666666664</v>
      </c>
      <c r="B48">
        <v>23</v>
      </c>
      <c r="C48">
        <v>23116</v>
      </c>
      <c r="D48">
        <v>0</v>
      </c>
    </row>
    <row r="49" spans="1:4" x14ac:dyDescent="0.3">
      <c r="A49" s="1">
        <v>46087.958333333336</v>
      </c>
      <c r="B49">
        <v>24</v>
      </c>
      <c r="C49">
        <v>23235</v>
      </c>
      <c r="D49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8" r:id="rId3" name="Button 6">
              <controlPr defaultSize="0" print="0" autoFill="0" autoPict="0" macro="[0]!DeleteMisoWSLCharts11">
                <anchor moveWithCells="1">
                  <from>
                    <xdr:col>5</xdr:col>
                    <xdr:colOff>640080</xdr:colOff>
                    <xdr:row>28</xdr:row>
                    <xdr:rowOff>106680</xdr:rowOff>
                  </from>
                  <to>
                    <xdr:col>7</xdr:col>
                    <xdr:colOff>640080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4" name="Button 19">
              <controlPr defaultSize="0" print="0" autoFill="0" autoPict="0" macro="[0]!GetMisoLoadDat11">
                <anchor moveWithCells="1">
                  <from>
                    <xdr:col>5</xdr:col>
                    <xdr:colOff>617220</xdr:colOff>
                    <xdr:row>25</xdr:row>
                    <xdr:rowOff>7620</xdr:rowOff>
                  </from>
                  <to>
                    <xdr:col>7</xdr:col>
                    <xdr:colOff>647700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5" name="Button 20">
              <controlPr defaultSize="0" print="0" autoFill="0" autoPict="0" macro="[0]!GetMisoWindSolarDat11">
                <anchor moveWithCells="1">
                  <from>
                    <xdr:col>5</xdr:col>
                    <xdr:colOff>632460</xdr:colOff>
                    <xdr:row>21</xdr:row>
                    <xdr:rowOff>45720</xdr:rowOff>
                  </from>
                  <to>
                    <xdr:col>7</xdr:col>
                    <xdr:colOff>647700</xdr:colOff>
                    <xdr:row>24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MISO2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Hoy</dc:creator>
  <cp:lastModifiedBy>Albert Hoy</cp:lastModifiedBy>
  <dcterms:created xsi:type="dcterms:W3CDTF">2025-07-03T21:42:28Z</dcterms:created>
  <dcterms:modified xsi:type="dcterms:W3CDTF">2026-03-05T17:58:11Z</dcterms:modified>
</cp:coreProperties>
</file>